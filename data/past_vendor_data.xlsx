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a\Desktop\ProcurementSystem\data\"/>
    </mc:Choice>
  </mc:AlternateContent>
  <xr:revisionPtr revIDLastSave="0" documentId="13_ncr:1_{3BD13201-38EC-4E8A-A7DF-4A02B1B0E5BE}" xr6:coauthVersionLast="47" xr6:coauthVersionMax="47" xr10:uidLastSave="{00000000-0000-0000-0000-000000000000}"/>
  <bookViews>
    <workbookView xWindow="-108" yWindow="-108" windowWidth="23256" windowHeight="12456" xr2:uid="{85E520B3-4265-4A8F-A447-417C75FFD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25" i="1"/>
  <c r="I44" i="1"/>
  <c r="I43" i="1"/>
  <c r="I42" i="1"/>
  <c r="I41" i="1"/>
  <c r="I40" i="1"/>
  <c r="I39" i="1"/>
  <c r="I36" i="1"/>
  <c r="I37" i="1"/>
  <c r="I38" i="1"/>
  <c r="I35" i="1"/>
  <c r="I20" i="1" l="1"/>
  <c r="I21" i="1"/>
  <c r="I22" i="1"/>
  <c r="I23" i="1"/>
  <c r="I24" i="1"/>
  <c r="I26" i="1"/>
  <c r="I27" i="1"/>
  <c r="I28" i="1"/>
  <c r="I29" i="1"/>
  <c r="I30" i="1"/>
  <c r="I31" i="1"/>
  <c r="I32" i="1"/>
  <c r="I33" i="1"/>
  <c r="I34" i="1"/>
  <c r="I19" i="1"/>
  <c r="I15" i="1"/>
  <c r="I16" i="1"/>
  <c r="I17" i="1"/>
  <c r="I18" i="1"/>
  <c r="I14" i="1"/>
  <c r="I13" i="1"/>
  <c r="I9" i="1"/>
  <c r="I10" i="1"/>
  <c r="I11" i="1"/>
  <c r="I12" i="1"/>
  <c r="I8" i="1"/>
  <c r="I7" i="1" l="1"/>
  <c r="H6" i="1"/>
  <c r="I6" i="1" s="1"/>
  <c r="H5" i="1"/>
  <c r="I5" i="1" s="1"/>
  <c r="H4" i="1"/>
  <c r="I4" i="1" s="1"/>
  <c r="H3" i="1"/>
  <c r="I3" i="1" s="1"/>
</calcChain>
</file>

<file path=xl/sharedStrings.xml><?xml version="1.0" encoding="utf-8"?>
<sst xmlns="http://schemas.openxmlformats.org/spreadsheetml/2006/main" count="280" uniqueCount="105">
  <si>
    <t>Project</t>
  </si>
  <si>
    <t>Quantity</t>
  </si>
  <si>
    <t xml:space="preserve">Item Description </t>
  </si>
  <si>
    <t xml:space="preserve">Vashi Intergrated Solutions </t>
  </si>
  <si>
    <t xml:space="preserve">PV  Modules </t>
  </si>
  <si>
    <t xml:space="preserve">Jinko Modules 595wP </t>
  </si>
  <si>
    <t xml:space="preserve">Cronus </t>
  </si>
  <si>
    <t xml:space="preserve">MMS Structure (Lengths) 300mm </t>
  </si>
  <si>
    <t xml:space="preserve">MMS Structure (Lengths) 270mm </t>
  </si>
  <si>
    <t>Module Mounting Structure(MMS)</t>
  </si>
  <si>
    <t xml:space="preserve">Sunrack Technologies </t>
  </si>
  <si>
    <t xml:space="preserve">Modules </t>
  </si>
  <si>
    <t xml:space="preserve">Solar Price Dot in </t>
  </si>
  <si>
    <t>SMS</t>
  </si>
  <si>
    <t>Module Mounting Structure (MMS)</t>
  </si>
  <si>
    <t>Long Rails 1.6MM</t>
  </si>
  <si>
    <t>Long Rails 2.4MM</t>
  </si>
  <si>
    <t>Long Rails 3.6MM</t>
  </si>
  <si>
    <t>Long Rails 4.8MM</t>
  </si>
  <si>
    <t xml:space="preserve">Walkways </t>
  </si>
  <si>
    <t xml:space="preserve">Magnalise Walkways </t>
  </si>
  <si>
    <t xml:space="preserve">Inverter </t>
  </si>
  <si>
    <t>3S Solutions</t>
  </si>
  <si>
    <t xml:space="preserve">Elezon Electric Private Limited </t>
  </si>
  <si>
    <t>ACDB PANEL</t>
  </si>
  <si>
    <t xml:space="preserve">2 IN 1 OUT </t>
  </si>
  <si>
    <t>7 IN 7 OUT</t>
  </si>
  <si>
    <t xml:space="preserve">1 IN 1 OUT </t>
  </si>
  <si>
    <t xml:space="preserve">Sunergy Remewables </t>
  </si>
  <si>
    <t>ÖLFLEX SOLAR XLR-I5
1X4 BK/</t>
  </si>
  <si>
    <t>ÖLFLEX SOLAR XLR-I5 1X4 BK/RD/</t>
  </si>
  <si>
    <t xml:space="preserve">DC Cable </t>
  </si>
  <si>
    <t xml:space="preserve">Kashyap Trading Co. </t>
  </si>
  <si>
    <t xml:space="preserve">AC Cables </t>
  </si>
  <si>
    <r>
      <t xml:space="preserve">PC </t>
    </r>
    <r>
      <rPr>
        <b/>
        <sz val="11"/>
        <color theme="1"/>
        <rFont val="Aptos Narrow"/>
        <family val="2"/>
        <scheme val="minor"/>
      </rPr>
      <t>95 SQMM X 3.5 C</t>
    </r>
    <r>
      <rPr>
        <sz val="11"/>
        <color theme="1"/>
        <rFont val="Aptos Narrow"/>
        <family val="2"/>
        <scheme val="minor"/>
      </rPr>
      <t xml:space="preserve"> LT XLPE ALU ARM CABLE</t>
    </r>
  </si>
  <si>
    <t xml:space="preserve">Total Amount </t>
  </si>
  <si>
    <r>
      <t xml:space="preserve">PC </t>
    </r>
    <r>
      <rPr>
        <b/>
        <sz val="11"/>
        <color theme="1"/>
        <rFont val="Aptos Narrow"/>
        <family val="2"/>
        <scheme val="minor"/>
      </rPr>
      <t>16 SQMM X 4 C</t>
    </r>
    <r>
      <rPr>
        <sz val="11"/>
        <color theme="1"/>
        <rFont val="Aptos Narrow"/>
        <family val="2"/>
        <scheme val="minor"/>
      </rPr>
      <t xml:space="preserve"> LT XLPE ALU ARM CABLE</t>
    </r>
  </si>
  <si>
    <r>
      <t xml:space="preserve">PC </t>
    </r>
    <r>
      <rPr>
        <b/>
        <sz val="11"/>
        <color theme="1"/>
        <rFont val="Aptos Narrow"/>
        <family val="2"/>
        <scheme val="minor"/>
      </rPr>
      <t>70 SQMM X 3.5 C</t>
    </r>
    <r>
      <rPr>
        <sz val="11"/>
        <color theme="1"/>
        <rFont val="Aptos Narrow"/>
        <family val="2"/>
        <scheme val="minor"/>
      </rPr>
      <t xml:space="preserve"> LT XLPE ALU ARM CABLE</t>
    </r>
  </si>
  <si>
    <r>
      <t xml:space="preserve"> PC </t>
    </r>
    <r>
      <rPr>
        <b/>
        <sz val="11"/>
        <color theme="1"/>
        <rFont val="Aptos Narrow"/>
        <family val="2"/>
        <scheme val="minor"/>
      </rPr>
      <t xml:space="preserve">120 SQMM X 3.5 C </t>
    </r>
    <r>
      <rPr>
        <sz val="11"/>
        <color theme="1"/>
        <rFont val="Aptos Narrow"/>
        <family val="2"/>
        <scheme val="minor"/>
      </rPr>
      <t>LT XLPE ALU ARM CABLE</t>
    </r>
  </si>
  <si>
    <r>
      <t xml:space="preserve">PC </t>
    </r>
    <r>
      <rPr>
        <b/>
        <sz val="11"/>
        <color theme="1"/>
        <rFont val="Aptos Narrow"/>
        <family val="2"/>
        <scheme val="minor"/>
      </rPr>
      <t>150 SQMM X 3.5 C</t>
    </r>
    <r>
      <rPr>
        <sz val="11"/>
        <color theme="1"/>
        <rFont val="Aptos Narrow"/>
        <family val="2"/>
        <scheme val="minor"/>
      </rPr>
      <t xml:space="preserve"> LT XLPE ALU ARM CABLE</t>
    </r>
  </si>
  <si>
    <r>
      <t xml:space="preserve">PC </t>
    </r>
    <r>
      <rPr>
        <b/>
        <sz val="11"/>
        <color theme="1"/>
        <rFont val="Aptos Narrow"/>
        <family val="2"/>
        <scheme val="minor"/>
      </rPr>
      <t>240 SQMM X 3.5 C</t>
    </r>
    <r>
      <rPr>
        <sz val="11"/>
        <color theme="1"/>
        <rFont val="Aptos Narrow"/>
        <family val="2"/>
        <scheme val="minor"/>
      </rPr>
      <t xml:space="preserve"> LT XLPE ALU ARM CABLE</t>
    </r>
  </si>
  <si>
    <t xml:space="preserve">Earthing Cable </t>
  </si>
  <si>
    <r>
      <t>PC</t>
    </r>
    <r>
      <rPr>
        <b/>
        <sz val="11"/>
        <color theme="1"/>
        <rFont val="Aptos Narrow"/>
        <family val="2"/>
        <scheme val="minor"/>
      </rPr>
      <t xml:space="preserve"> 4 SQMM 200 MTRS</t>
    </r>
    <r>
      <rPr>
        <sz val="11"/>
        <color theme="1"/>
        <rFont val="Aptos Narrow"/>
        <family val="2"/>
        <scheme val="minor"/>
      </rPr>
      <t xml:space="preserve"> FRLSH CU WIRE GREEN-2</t>
    </r>
  </si>
  <si>
    <r>
      <rPr>
        <b/>
        <sz val="11"/>
        <color theme="1"/>
        <rFont val="Aptos Narrow"/>
        <family val="2"/>
        <scheme val="minor"/>
      </rPr>
      <t xml:space="preserve">10 Sq.mm </t>
    </r>
    <r>
      <rPr>
        <sz val="11"/>
        <color theme="1"/>
        <rFont val="Aptos Narrow"/>
        <family val="2"/>
        <scheme val="minor"/>
      </rPr>
      <t>S/C Wire</t>
    </r>
  </si>
  <si>
    <t>SRI NATH ELECTRICALS &amp; ELECTRONICS</t>
  </si>
  <si>
    <r>
      <rPr>
        <b/>
        <sz val="11"/>
        <color theme="1"/>
        <rFont val="Aptos Narrow"/>
        <family val="2"/>
        <scheme val="minor"/>
      </rPr>
      <t>35 Sq.mm</t>
    </r>
    <r>
      <rPr>
        <sz val="11"/>
        <color theme="1"/>
        <rFont val="Aptos Narrow"/>
        <family val="2"/>
        <scheme val="minor"/>
      </rPr>
      <t xml:space="preserve"> S/c Cu Flexible Cable</t>
    </r>
  </si>
  <si>
    <t xml:space="preserve">C.I PIPES (N)  100*2.75Mtrs </t>
  </si>
  <si>
    <t>BENTONITE POWDER</t>
  </si>
  <si>
    <t>EARTHING COMPOUND</t>
  </si>
  <si>
    <t xml:space="preserve">GI Flat 50 X 3MM HD  1200 Mtrs </t>
  </si>
  <si>
    <t xml:space="preserve">G I FLAT 50*6MM HD 320mtrs </t>
  </si>
  <si>
    <r>
      <t xml:space="preserve">Insulators </t>
    </r>
    <r>
      <rPr>
        <b/>
        <sz val="10"/>
        <color rgb="FF000000"/>
        <rFont val="Aptos Display"/>
        <family val="2"/>
        <scheme val="major"/>
      </rPr>
      <t>50 X 3</t>
    </r>
    <r>
      <rPr>
        <sz val="10"/>
        <color rgb="FF000000"/>
        <rFont val="Aptos Display"/>
        <family val="2"/>
        <scheme val="major"/>
      </rPr>
      <t xml:space="preserve">MM </t>
    </r>
  </si>
  <si>
    <r>
      <t xml:space="preserve">Insulators </t>
    </r>
    <r>
      <rPr>
        <b/>
        <sz val="10"/>
        <color rgb="FF000000"/>
        <rFont val="Aptos Display"/>
        <family val="2"/>
        <scheme val="major"/>
      </rPr>
      <t>50 X 6</t>
    </r>
    <r>
      <rPr>
        <sz val="10"/>
        <color rgb="FF000000"/>
        <rFont val="Aptos Display"/>
        <family val="2"/>
        <scheme val="major"/>
      </rPr>
      <t xml:space="preserve">MM </t>
    </r>
  </si>
  <si>
    <t xml:space="preserve">Earthing Material </t>
  </si>
  <si>
    <t xml:space="preserve">RK Metal Corporation </t>
  </si>
  <si>
    <t>rkmetalcorp1272@gmail.com</t>
  </si>
  <si>
    <t xml:space="preserve">400*400 PCC Earth Pit Chambers </t>
  </si>
  <si>
    <t xml:space="preserve">ESE Lightning arrester with Hard ware </t>
  </si>
  <si>
    <t xml:space="preserve">Cable Ties 300mm </t>
  </si>
  <si>
    <t xml:space="preserve">Cable ties 150mm </t>
  </si>
  <si>
    <t xml:space="preserve">Lightning Arrester </t>
  </si>
  <si>
    <t xml:space="preserve">Balance of Plant </t>
  </si>
  <si>
    <t xml:space="preserve">RK Earthing and Lightning  Systems </t>
  </si>
  <si>
    <t>info.rkearthing@gmail.com</t>
  </si>
  <si>
    <t xml:space="preserve">Cable Tray </t>
  </si>
  <si>
    <t xml:space="preserve">100*50*1mm Thick Pre Galvanized Pct with Hardware </t>
  </si>
  <si>
    <t xml:space="preserve">UB Engineering </t>
  </si>
  <si>
    <t xml:space="preserve">100*15*15*1mm Thick GI Cable Tray Cover </t>
  </si>
  <si>
    <t xml:space="preserve">200*100*1mm Thick Pre Galvanized Pct with hardware </t>
  </si>
  <si>
    <t>100*50*1mm Thick Pre Galvanized Pct with hardware</t>
  </si>
  <si>
    <t xml:space="preserve">200*15*15*1mm Thick GI Cable Tray Cover </t>
  </si>
  <si>
    <t>Brand</t>
  </si>
  <si>
    <t xml:space="preserve">590Wp </t>
  </si>
  <si>
    <t xml:space="preserve">V Sun </t>
  </si>
  <si>
    <t>80KTL3</t>
  </si>
  <si>
    <t xml:space="preserve"> Growatt </t>
  </si>
  <si>
    <t xml:space="preserve"> 125KTL3 X2 LV</t>
  </si>
  <si>
    <t xml:space="preserve"> Growatt</t>
  </si>
  <si>
    <t>25KW TL3 X</t>
  </si>
  <si>
    <t>100KTL3 X2 LV</t>
  </si>
  <si>
    <t>LAPP</t>
  </si>
  <si>
    <t xml:space="preserve">Polycab </t>
  </si>
  <si>
    <t xml:space="preserve">Phone No. </t>
  </si>
  <si>
    <t>southsales@sun-rack.com</t>
  </si>
  <si>
    <t>praveen@3ssol.in</t>
  </si>
  <si>
    <t>subhash@elezon.in</t>
  </si>
  <si>
    <t>9036754020 </t>
  </si>
  <si>
    <t>sunergyrenewables@gmail.com</t>
  </si>
  <si>
    <t>Kashyaptrading71@gmail.com</t>
  </si>
  <si>
    <t>040-27530331</t>
  </si>
  <si>
    <t>040-27530332</t>
  </si>
  <si>
    <t>040-27530333</t>
  </si>
  <si>
    <t>040-27530334</t>
  </si>
  <si>
    <t>040-27530335</t>
  </si>
  <si>
    <t>040-27530336</t>
  </si>
  <si>
    <t>040-27530337</t>
  </si>
  <si>
    <t>srinathelectricals123@gmail.com</t>
  </si>
  <si>
    <t>ubengineering72@gmail.com</t>
  </si>
  <si>
    <t>Project_ID</t>
  </si>
  <si>
    <t>PRJO-01</t>
  </si>
  <si>
    <t xml:space="preserve">Vendor_Name </t>
  </si>
  <si>
    <t>Material_Name</t>
  </si>
  <si>
    <t xml:space="preserve">Unit_Price </t>
  </si>
  <si>
    <t>Email</t>
  </si>
  <si>
    <t>manisha.s@fractalenergy.in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</si>
</sst>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Display"/>
      <family val="2"/>
      <scheme val="maj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4" fontId="1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/>
    <xf numFmtId="3" fontId="1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6" fillId="0" borderId="0" xfId="2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kmetalcorp1272@gmail.com" TargetMode="External"/><Relationship Id="rId2" Type="http://schemas.openxmlformats.org/officeDocument/2006/relationships/hyperlink" Target="mailto:rkmetalcorp1272@gmail.com" TargetMode="External"/><Relationship Id="rId1" Type="http://schemas.openxmlformats.org/officeDocument/2006/relationships/hyperlink" Target="mailto:rkmetalcorp1272@gmail.com" TargetMode="External"/><Relationship Id="rId6" Type="http://schemas.openxmlformats.org/officeDocument/2006/relationships/hyperlink" Target="mailto:ubengineering72@gmail.com" TargetMode="External"/><Relationship Id="rId5" Type="http://schemas.openxmlformats.org/officeDocument/2006/relationships/hyperlink" Target="mailto:ubengineering72@gmail.com" TargetMode="External"/><Relationship Id="rId4" Type="http://schemas.openxmlformats.org/officeDocument/2006/relationships/hyperlink" Target="mailto:manisha.s@fractalenergy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B1F6-25C0-4BCA-8186-68424D224A58}">
  <dimension ref="A1:K98"/>
  <sheetViews>
    <sheetView tabSelected="1" topLeftCell="D1" workbookViewId="0">
      <selection activeCell="L4" sqref="L4"/>
    </sheetView>
  </sheetViews>
  <sheetFormatPr defaultRowHeight="14.4" x14ac:dyDescent="0.3"/>
  <cols>
    <col min="2" max="2" width="33.6640625" bestFit="1" customWidth="1"/>
    <col min="3" max="3" width="29.44140625" customWidth="1"/>
    <col min="4" max="4" width="45.109375" style="2" bestFit="1" customWidth="1"/>
    <col min="5" max="5" width="12.88671875" style="2" customWidth="1"/>
    <col min="6" max="6" width="12.44140625" customWidth="1"/>
    <col min="7" max="7" width="17.5546875" customWidth="1"/>
    <col min="8" max="8" width="15.6640625" style="12" customWidth="1"/>
    <col min="9" max="9" width="16.88671875" style="9" customWidth="1"/>
    <col min="10" max="10" width="19.5546875" customWidth="1"/>
    <col min="11" max="11" width="35.109375" style="2" customWidth="1"/>
  </cols>
  <sheetData>
    <row r="1" spans="1:11" ht="29.4" customHeight="1" x14ac:dyDescent="0.3">
      <c r="A1" t="s">
        <v>98</v>
      </c>
      <c r="B1" s="1" t="s">
        <v>100</v>
      </c>
      <c r="C1" s="1" t="s">
        <v>101</v>
      </c>
      <c r="D1" s="1" t="s">
        <v>2</v>
      </c>
      <c r="E1" s="1" t="s">
        <v>71</v>
      </c>
      <c r="F1" s="1" t="s">
        <v>0</v>
      </c>
      <c r="G1" s="1" t="s">
        <v>102</v>
      </c>
      <c r="H1" s="10" t="s">
        <v>1</v>
      </c>
      <c r="I1" s="7" t="s">
        <v>35</v>
      </c>
      <c r="J1" s="1" t="s">
        <v>82</v>
      </c>
      <c r="K1" s="1" t="s">
        <v>103</v>
      </c>
    </row>
    <row r="2" spans="1:11" ht="29.4" customHeight="1" x14ac:dyDescent="0.3">
      <c r="A2" t="s">
        <v>99</v>
      </c>
      <c r="B2" s="2" t="s">
        <v>12</v>
      </c>
      <c r="C2" s="2" t="s">
        <v>11</v>
      </c>
      <c r="D2" s="5" t="s">
        <v>72</v>
      </c>
      <c r="E2" s="13" t="s">
        <v>73</v>
      </c>
      <c r="F2" s="2" t="s">
        <v>13</v>
      </c>
      <c r="G2" s="2">
        <v>6054.5</v>
      </c>
      <c r="H2" s="11">
        <v>2336</v>
      </c>
      <c r="I2" s="8">
        <f>G2*H2</f>
        <v>14143312</v>
      </c>
      <c r="J2" s="2">
        <v>8826322197</v>
      </c>
      <c r="K2" s="15" t="s">
        <v>104</v>
      </c>
    </row>
    <row r="3" spans="1:11" ht="29.4" customHeight="1" x14ac:dyDescent="0.3">
      <c r="A3" t="s">
        <v>99</v>
      </c>
      <c r="B3" s="2" t="s">
        <v>10</v>
      </c>
      <c r="C3" s="2" t="s">
        <v>14</v>
      </c>
      <c r="D3" s="5" t="s">
        <v>15</v>
      </c>
      <c r="E3" s="13"/>
      <c r="F3" s="2" t="s">
        <v>13</v>
      </c>
      <c r="G3" s="2">
        <v>1293</v>
      </c>
      <c r="H3" s="11">
        <f t="shared" ref="H3:H6" si="0">1455.71/4</f>
        <v>363.92750000000001</v>
      </c>
      <c r="I3" s="8">
        <f>G3*H3</f>
        <v>470558.25750000001</v>
      </c>
      <c r="J3" s="2">
        <v>9167367137</v>
      </c>
      <c r="K3" s="2" t="s">
        <v>83</v>
      </c>
    </row>
    <row r="4" spans="1:11" ht="29.4" customHeight="1" x14ac:dyDescent="0.3">
      <c r="A4" t="s">
        <v>99</v>
      </c>
      <c r="B4" s="2" t="s">
        <v>10</v>
      </c>
      <c r="C4" s="2" t="s">
        <v>14</v>
      </c>
      <c r="D4" s="5" t="s">
        <v>16</v>
      </c>
      <c r="E4" s="13"/>
      <c r="F4" s="2" t="s">
        <v>13</v>
      </c>
      <c r="G4" s="2">
        <v>1293</v>
      </c>
      <c r="H4" s="11">
        <f t="shared" si="0"/>
        <v>363.92750000000001</v>
      </c>
      <c r="I4" s="8">
        <f t="shared" ref="I4:I7" si="1">G4*H4</f>
        <v>470558.25750000001</v>
      </c>
      <c r="J4" s="2">
        <v>9167367137</v>
      </c>
      <c r="K4" s="2" t="s">
        <v>83</v>
      </c>
    </row>
    <row r="5" spans="1:11" ht="29.4" customHeight="1" x14ac:dyDescent="0.3">
      <c r="A5" t="s">
        <v>99</v>
      </c>
      <c r="B5" s="2" t="s">
        <v>10</v>
      </c>
      <c r="C5" s="2" t="s">
        <v>14</v>
      </c>
      <c r="D5" s="5" t="s">
        <v>17</v>
      </c>
      <c r="E5" s="13"/>
      <c r="F5" s="2" t="s">
        <v>13</v>
      </c>
      <c r="G5" s="2">
        <v>1293</v>
      </c>
      <c r="H5" s="11">
        <f t="shared" si="0"/>
        <v>363.92750000000001</v>
      </c>
      <c r="I5" s="8">
        <f t="shared" si="1"/>
        <v>470558.25750000001</v>
      </c>
      <c r="J5" s="2">
        <v>9167367137</v>
      </c>
      <c r="K5" s="2" t="s">
        <v>83</v>
      </c>
    </row>
    <row r="6" spans="1:11" ht="29.4" customHeight="1" x14ac:dyDescent="0.3">
      <c r="A6" t="s">
        <v>99</v>
      </c>
      <c r="B6" s="2" t="s">
        <v>10</v>
      </c>
      <c r="C6" s="2" t="s">
        <v>14</v>
      </c>
      <c r="D6" s="5" t="s">
        <v>18</v>
      </c>
      <c r="E6" s="13"/>
      <c r="F6" s="2" t="s">
        <v>13</v>
      </c>
      <c r="G6" s="2">
        <v>1293</v>
      </c>
      <c r="H6" s="11">
        <f t="shared" si="0"/>
        <v>363.92750000000001</v>
      </c>
      <c r="I6" s="8">
        <f t="shared" si="1"/>
        <v>470558.25750000001</v>
      </c>
      <c r="J6" s="2">
        <v>9167367137</v>
      </c>
      <c r="K6" s="2" t="s">
        <v>83</v>
      </c>
    </row>
    <row r="7" spans="1:11" ht="29.4" customHeight="1" x14ac:dyDescent="0.3">
      <c r="A7" t="s">
        <v>99</v>
      </c>
      <c r="B7" s="2" t="s">
        <v>10</v>
      </c>
      <c r="C7" s="2" t="s">
        <v>19</v>
      </c>
      <c r="D7" s="2" t="s">
        <v>20</v>
      </c>
      <c r="F7" s="2" t="s">
        <v>13</v>
      </c>
      <c r="G7" s="2">
        <v>598</v>
      </c>
      <c r="H7" s="11">
        <v>1148.3</v>
      </c>
      <c r="I7" s="8">
        <f t="shared" si="1"/>
        <v>686683.4</v>
      </c>
      <c r="J7" s="2">
        <v>9167367137</v>
      </c>
      <c r="K7" s="2" t="s">
        <v>83</v>
      </c>
    </row>
    <row r="8" spans="1:11" ht="29.4" customHeight="1" x14ac:dyDescent="0.3">
      <c r="A8" t="s">
        <v>99</v>
      </c>
      <c r="B8" s="2" t="s">
        <v>10</v>
      </c>
      <c r="C8" s="2" t="s">
        <v>19</v>
      </c>
      <c r="D8" s="2" t="s">
        <v>20</v>
      </c>
      <c r="F8" s="2" t="s">
        <v>13</v>
      </c>
      <c r="G8" s="2">
        <v>55</v>
      </c>
      <c r="H8" s="11">
        <v>1207.7360000000001</v>
      </c>
      <c r="I8" s="8">
        <f>G8*H8</f>
        <v>66425.48000000001</v>
      </c>
      <c r="J8" s="2">
        <v>9167367137</v>
      </c>
      <c r="K8" s="2" t="s">
        <v>83</v>
      </c>
    </row>
    <row r="9" spans="1:11" ht="29.4" customHeight="1" x14ac:dyDescent="0.3">
      <c r="A9" t="s">
        <v>99</v>
      </c>
      <c r="B9" s="2" t="s">
        <v>22</v>
      </c>
      <c r="C9" s="2" t="s">
        <v>21</v>
      </c>
      <c r="D9" s="3" t="s">
        <v>74</v>
      </c>
      <c r="E9" s="4" t="s">
        <v>75</v>
      </c>
      <c r="F9" s="2" t="s">
        <v>13</v>
      </c>
      <c r="G9" s="2">
        <v>1</v>
      </c>
      <c r="H9" s="11">
        <v>212862</v>
      </c>
      <c r="I9" s="8">
        <f t="shared" ref="I9:I44" si="2">G9*H9</f>
        <v>212862</v>
      </c>
      <c r="J9" s="2">
        <v>9581177119</v>
      </c>
      <c r="K9" s="2" t="s">
        <v>84</v>
      </c>
    </row>
    <row r="10" spans="1:11" ht="29.4" customHeight="1" x14ac:dyDescent="0.3">
      <c r="A10" t="s">
        <v>99</v>
      </c>
      <c r="B10" s="2" t="s">
        <v>22</v>
      </c>
      <c r="C10" s="2" t="s">
        <v>21</v>
      </c>
      <c r="D10" s="6" t="s">
        <v>76</v>
      </c>
      <c r="E10" s="14" t="s">
        <v>77</v>
      </c>
      <c r="F10" s="2" t="s">
        <v>13</v>
      </c>
      <c r="G10" s="2">
        <v>7</v>
      </c>
      <c r="H10" s="11">
        <v>267575</v>
      </c>
      <c r="I10" s="8">
        <f t="shared" si="2"/>
        <v>1873025</v>
      </c>
      <c r="J10" s="2">
        <v>9581177119</v>
      </c>
      <c r="K10" s="2" t="s">
        <v>84</v>
      </c>
    </row>
    <row r="11" spans="1:11" ht="29.4" customHeight="1" x14ac:dyDescent="0.3">
      <c r="A11" t="s">
        <v>99</v>
      </c>
      <c r="B11" s="2" t="s">
        <v>22</v>
      </c>
      <c r="C11" s="2" t="s">
        <v>21</v>
      </c>
      <c r="D11" s="6" t="s">
        <v>78</v>
      </c>
      <c r="E11" s="14" t="s">
        <v>75</v>
      </c>
      <c r="F11" s="2" t="s">
        <v>13</v>
      </c>
      <c r="G11" s="2">
        <v>1</v>
      </c>
      <c r="H11" s="11">
        <v>88506</v>
      </c>
      <c r="I11" s="8">
        <f t="shared" si="2"/>
        <v>88506</v>
      </c>
      <c r="J11" s="2">
        <v>9581177119</v>
      </c>
      <c r="K11" s="2" t="s">
        <v>84</v>
      </c>
    </row>
    <row r="12" spans="1:11" ht="29.4" customHeight="1" x14ac:dyDescent="0.3">
      <c r="A12" t="s">
        <v>99</v>
      </c>
      <c r="B12" s="2" t="s">
        <v>22</v>
      </c>
      <c r="C12" s="2" t="s">
        <v>21</v>
      </c>
      <c r="D12" s="3" t="s">
        <v>79</v>
      </c>
      <c r="E12" s="4" t="s">
        <v>75</v>
      </c>
      <c r="F12" s="2" t="s">
        <v>13</v>
      </c>
      <c r="G12" s="2">
        <v>1</v>
      </c>
      <c r="H12" s="11">
        <v>240870</v>
      </c>
      <c r="I12" s="8">
        <f t="shared" si="2"/>
        <v>240870</v>
      </c>
      <c r="J12" s="2">
        <v>9581177119</v>
      </c>
      <c r="K12" s="2" t="s">
        <v>84</v>
      </c>
    </row>
    <row r="13" spans="1:11" ht="29.4" customHeight="1" x14ac:dyDescent="0.3">
      <c r="A13" t="s">
        <v>99</v>
      </c>
      <c r="B13" s="2" t="s">
        <v>23</v>
      </c>
      <c r="C13" s="2" t="s">
        <v>24</v>
      </c>
      <c r="D13" s="2" t="s">
        <v>26</v>
      </c>
      <c r="F13" s="2" t="s">
        <v>13</v>
      </c>
      <c r="G13" s="2">
        <v>1</v>
      </c>
      <c r="H13" s="11">
        <v>645623</v>
      </c>
      <c r="I13" s="8">
        <f t="shared" si="2"/>
        <v>645623</v>
      </c>
      <c r="J13" s="2" t="s">
        <v>86</v>
      </c>
      <c r="K13" s="2" t="s">
        <v>85</v>
      </c>
    </row>
    <row r="14" spans="1:11" ht="29.4" customHeight="1" x14ac:dyDescent="0.3">
      <c r="A14" t="s">
        <v>99</v>
      </c>
      <c r="B14" s="2" t="s">
        <v>23</v>
      </c>
      <c r="C14" s="2" t="s">
        <v>24</v>
      </c>
      <c r="D14" s="2" t="s">
        <v>25</v>
      </c>
      <c r="F14" s="2" t="s">
        <v>13</v>
      </c>
      <c r="G14" s="2">
        <v>1</v>
      </c>
      <c r="H14" s="11">
        <v>144743</v>
      </c>
      <c r="I14" s="8">
        <f t="shared" si="2"/>
        <v>144743</v>
      </c>
      <c r="J14" s="2" t="s">
        <v>86</v>
      </c>
      <c r="K14" s="2" t="s">
        <v>85</v>
      </c>
    </row>
    <row r="15" spans="1:11" ht="29.4" customHeight="1" x14ac:dyDescent="0.3">
      <c r="A15" t="s">
        <v>99</v>
      </c>
      <c r="B15" s="2" t="s">
        <v>23</v>
      </c>
      <c r="C15" s="2" t="s">
        <v>24</v>
      </c>
      <c r="D15" s="2" t="s">
        <v>27</v>
      </c>
      <c r="F15" s="2" t="s">
        <v>13</v>
      </c>
      <c r="G15" s="2">
        <v>1</v>
      </c>
      <c r="H15" s="11">
        <v>60728</v>
      </c>
      <c r="I15" s="8">
        <f t="shared" si="2"/>
        <v>60728</v>
      </c>
      <c r="J15" s="2" t="s">
        <v>86</v>
      </c>
      <c r="K15" s="2" t="s">
        <v>85</v>
      </c>
    </row>
    <row r="16" spans="1:11" ht="29.4" customHeight="1" x14ac:dyDescent="0.3">
      <c r="A16" t="s">
        <v>99</v>
      </c>
      <c r="B16" s="2" t="s">
        <v>28</v>
      </c>
      <c r="C16" s="2" t="s">
        <v>31</v>
      </c>
      <c r="D16" s="2" t="s">
        <v>29</v>
      </c>
      <c r="E16" s="2" t="s">
        <v>80</v>
      </c>
      <c r="F16" s="2" t="s">
        <v>13</v>
      </c>
      <c r="G16" s="2">
        <v>9073</v>
      </c>
      <c r="H16" s="11">
        <v>48.5</v>
      </c>
      <c r="I16" s="8">
        <f t="shared" si="2"/>
        <v>440040.5</v>
      </c>
      <c r="J16" s="2">
        <v>8591663239</v>
      </c>
      <c r="K16" s="2" t="s">
        <v>87</v>
      </c>
    </row>
    <row r="17" spans="2:11" ht="29.4" customHeight="1" x14ac:dyDescent="0.3">
      <c r="B17" s="2" t="s">
        <v>28</v>
      </c>
      <c r="C17" s="2" t="s">
        <v>31</v>
      </c>
      <c r="D17" s="2" t="s">
        <v>30</v>
      </c>
      <c r="E17" s="2" t="s">
        <v>80</v>
      </c>
      <c r="F17" s="2" t="s">
        <v>13</v>
      </c>
      <c r="G17" s="2">
        <v>8140</v>
      </c>
      <c r="H17" s="11">
        <v>48.5</v>
      </c>
      <c r="I17" s="8">
        <f t="shared" si="2"/>
        <v>394790</v>
      </c>
      <c r="J17" s="2">
        <v>8591663239</v>
      </c>
      <c r="K17" s="2" t="s">
        <v>87</v>
      </c>
    </row>
    <row r="18" spans="2:11" ht="29.4" customHeight="1" x14ac:dyDescent="0.3">
      <c r="B18" s="2" t="s">
        <v>28</v>
      </c>
      <c r="C18" s="2" t="s">
        <v>31</v>
      </c>
      <c r="D18" s="2" t="s">
        <v>29</v>
      </c>
      <c r="E18" s="2" t="s">
        <v>80</v>
      </c>
      <c r="F18" s="2" t="s">
        <v>13</v>
      </c>
      <c r="G18" s="2">
        <v>4000</v>
      </c>
      <c r="H18" s="11">
        <v>60</v>
      </c>
      <c r="I18" s="8">
        <f t="shared" si="2"/>
        <v>240000</v>
      </c>
      <c r="J18" s="2">
        <v>8591663239</v>
      </c>
      <c r="K18" s="2" t="s">
        <v>87</v>
      </c>
    </row>
    <row r="19" spans="2:11" ht="29.4" customHeight="1" x14ac:dyDescent="0.3">
      <c r="B19" s="2" t="s">
        <v>32</v>
      </c>
      <c r="C19" s="2" t="s">
        <v>33</v>
      </c>
      <c r="D19" s="2" t="s">
        <v>34</v>
      </c>
      <c r="E19" s="2" t="s">
        <v>81</v>
      </c>
      <c r="F19" s="2" t="s">
        <v>13</v>
      </c>
      <c r="G19" s="2">
        <v>110</v>
      </c>
      <c r="H19" s="11">
        <v>454</v>
      </c>
      <c r="I19" s="8">
        <f t="shared" si="2"/>
        <v>49940</v>
      </c>
      <c r="J19" s="2" t="s">
        <v>89</v>
      </c>
      <c r="K19" s="2" t="s">
        <v>88</v>
      </c>
    </row>
    <row r="20" spans="2:11" ht="29.4" customHeight="1" x14ac:dyDescent="0.3">
      <c r="B20" s="2" t="s">
        <v>32</v>
      </c>
      <c r="C20" s="2" t="s">
        <v>33</v>
      </c>
      <c r="D20" s="2" t="s">
        <v>36</v>
      </c>
      <c r="E20" s="2" t="s">
        <v>81</v>
      </c>
      <c r="F20" s="2" t="s">
        <v>13</v>
      </c>
      <c r="G20" s="2">
        <v>8</v>
      </c>
      <c r="H20" s="11">
        <v>120</v>
      </c>
      <c r="I20" s="8">
        <f t="shared" si="2"/>
        <v>960</v>
      </c>
      <c r="J20" s="2" t="s">
        <v>90</v>
      </c>
      <c r="K20" s="2" t="s">
        <v>88</v>
      </c>
    </row>
    <row r="21" spans="2:11" ht="29.4" customHeight="1" x14ac:dyDescent="0.3">
      <c r="B21" s="2" t="s">
        <v>32</v>
      </c>
      <c r="C21" s="2" t="s">
        <v>33</v>
      </c>
      <c r="D21" s="2" t="s">
        <v>37</v>
      </c>
      <c r="E21" s="2" t="s">
        <v>81</v>
      </c>
      <c r="F21" s="2" t="s">
        <v>13</v>
      </c>
      <c r="G21" s="2">
        <v>65</v>
      </c>
      <c r="H21" s="11">
        <v>362</v>
      </c>
      <c r="I21" s="8">
        <f t="shared" si="2"/>
        <v>23530</v>
      </c>
      <c r="J21" s="2" t="s">
        <v>91</v>
      </c>
      <c r="K21" s="2" t="s">
        <v>88</v>
      </c>
    </row>
    <row r="22" spans="2:11" ht="29.4" customHeight="1" x14ac:dyDescent="0.3">
      <c r="B22" s="2" t="s">
        <v>32</v>
      </c>
      <c r="C22" s="2" t="s">
        <v>33</v>
      </c>
      <c r="D22" s="2" t="s">
        <v>38</v>
      </c>
      <c r="E22" s="2" t="s">
        <v>81</v>
      </c>
      <c r="F22" s="2" t="s">
        <v>13</v>
      </c>
      <c r="G22" s="2">
        <v>117</v>
      </c>
      <c r="H22" s="11">
        <v>574.20000000000005</v>
      </c>
      <c r="I22" s="8">
        <f t="shared" si="2"/>
        <v>67181.400000000009</v>
      </c>
      <c r="J22" s="2" t="s">
        <v>92</v>
      </c>
      <c r="K22" s="2" t="s">
        <v>88</v>
      </c>
    </row>
    <row r="23" spans="2:11" ht="29.4" customHeight="1" x14ac:dyDescent="0.3">
      <c r="B23" s="2" t="s">
        <v>32</v>
      </c>
      <c r="C23" s="2" t="s">
        <v>33</v>
      </c>
      <c r="D23" s="2" t="s">
        <v>39</v>
      </c>
      <c r="E23" s="2" t="s">
        <v>81</v>
      </c>
      <c r="F23" s="2" t="s">
        <v>13</v>
      </c>
      <c r="G23" s="2">
        <v>420</v>
      </c>
      <c r="H23" s="11">
        <v>680.5</v>
      </c>
      <c r="I23" s="8">
        <f t="shared" si="2"/>
        <v>285810</v>
      </c>
      <c r="J23" s="2" t="s">
        <v>93</v>
      </c>
      <c r="K23" s="2" t="s">
        <v>88</v>
      </c>
    </row>
    <row r="24" spans="2:11" ht="29.4" customHeight="1" x14ac:dyDescent="0.3">
      <c r="B24" s="2" t="s">
        <v>32</v>
      </c>
      <c r="C24" s="2" t="s">
        <v>33</v>
      </c>
      <c r="D24" s="2" t="s">
        <v>40</v>
      </c>
      <c r="E24" s="2" t="s">
        <v>81</v>
      </c>
      <c r="F24" s="2" t="s">
        <v>13</v>
      </c>
      <c r="G24" s="2">
        <v>510</v>
      </c>
      <c r="H24" s="11">
        <v>1082</v>
      </c>
      <c r="I24" s="8">
        <f t="shared" si="2"/>
        <v>551820</v>
      </c>
      <c r="J24" s="2" t="s">
        <v>94</v>
      </c>
      <c r="K24" s="2" t="s">
        <v>88</v>
      </c>
    </row>
    <row r="25" spans="2:11" ht="29.4" customHeight="1" x14ac:dyDescent="0.3">
      <c r="B25" s="2" t="s">
        <v>32</v>
      </c>
      <c r="C25" s="2" t="s">
        <v>41</v>
      </c>
      <c r="D25" s="2" t="s">
        <v>42</v>
      </c>
      <c r="E25" s="2" t="s">
        <v>81</v>
      </c>
      <c r="F25" s="2" t="s">
        <v>13</v>
      </c>
      <c r="G25" s="2">
        <v>400</v>
      </c>
      <c r="H25" s="11">
        <v>50.445</v>
      </c>
      <c r="I25" s="8">
        <f>G25*H25</f>
        <v>20178</v>
      </c>
      <c r="J25" s="2" t="s">
        <v>95</v>
      </c>
      <c r="K25" s="2" t="s">
        <v>88</v>
      </c>
    </row>
    <row r="26" spans="2:11" ht="29.4" customHeight="1" x14ac:dyDescent="0.3">
      <c r="B26" s="2" t="s">
        <v>44</v>
      </c>
      <c r="C26" s="2" t="s">
        <v>41</v>
      </c>
      <c r="D26" s="2" t="s">
        <v>43</v>
      </c>
      <c r="E26" s="2" t="s">
        <v>81</v>
      </c>
      <c r="F26" s="2" t="s">
        <v>13</v>
      </c>
      <c r="G26" s="2">
        <v>16</v>
      </c>
      <c r="H26" s="11">
        <v>159</v>
      </c>
      <c r="I26" s="8">
        <f t="shared" si="2"/>
        <v>2544</v>
      </c>
      <c r="J26" s="2">
        <v>8890481977</v>
      </c>
      <c r="K26" s="2" t="s">
        <v>96</v>
      </c>
    </row>
    <row r="27" spans="2:11" ht="29.4" customHeight="1" x14ac:dyDescent="0.3">
      <c r="B27" s="2" t="s">
        <v>44</v>
      </c>
      <c r="C27" s="2" t="s">
        <v>41</v>
      </c>
      <c r="D27" s="2" t="s">
        <v>45</v>
      </c>
      <c r="E27" s="2" t="s">
        <v>81</v>
      </c>
      <c r="F27" s="2" t="s">
        <v>13</v>
      </c>
      <c r="G27" s="2">
        <v>40</v>
      </c>
      <c r="H27" s="11">
        <v>520</v>
      </c>
      <c r="I27" s="8">
        <f t="shared" si="2"/>
        <v>20800</v>
      </c>
      <c r="J27" s="2">
        <v>8890481977</v>
      </c>
      <c r="K27" s="2" t="s">
        <v>96</v>
      </c>
    </row>
    <row r="28" spans="2:11" ht="29.4" customHeight="1" x14ac:dyDescent="0.3">
      <c r="B28" s="2" t="s">
        <v>54</v>
      </c>
      <c r="C28" s="2" t="s">
        <v>53</v>
      </c>
      <c r="D28" s="3" t="s">
        <v>46</v>
      </c>
      <c r="E28" s="4"/>
      <c r="F28" s="2" t="s">
        <v>13</v>
      </c>
      <c r="G28" s="2">
        <v>29</v>
      </c>
      <c r="H28" s="11">
        <v>3000</v>
      </c>
      <c r="I28" s="8">
        <f t="shared" si="2"/>
        <v>87000</v>
      </c>
      <c r="J28" s="2">
        <v>8801262236</v>
      </c>
      <c r="K28" s="15" t="s">
        <v>55</v>
      </c>
    </row>
    <row r="29" spans="2:11" ht="29.4" customHeight="1" x14ac:dyDescent="0.3">
      <c r="B29" s="2" t="s">
        <v>54</v>
      </c>
      <c r="C29" s="2" t="s">
        <v>53</v>
      </c>
      <c r="D29" s="3" t="s">
        <v>51</v>
      </c>
      <c r="E29" s="4"/>
      <c r="F29" s="2" t="s">
        <v>13</v>
      </c>
      <c r="G29" s="2">
        <v>420</v>
      </c>
      <c r="H29" s="11">
        <v>20</v>
      </c>
      <c r="I29" s="8">
        <f t="shared" si="2"/>
        <v>8400</v>
      </c>
      <c r="J29" s="2">
        <v>8801262236</v>
      </c>
      <c r="K29" s="15" t="s">
        <v>55</v>
      </c>
    </row>
    <row r="30" spans="2:11" ht="29.4" customHeight="1" x14ac:dyDescent="0.3">
      <c r="B30" s="2" t="s">
        <v>54</v>
      </c>
      <c r="C30" s="2" t="s">
        <v>53</v>
      </c>
      <c r="D30" s="3" t="s">
        <v>52</v>
      </c>
      <c r="E30" s="4"/>
      <c r="F30" s="2" t="s">
        <v>13</v>
      </c>
      <c r="G30" s="2">
        <v>100</v>
      </c>
      <c r="H30" s="11">
        <v>20</v>
      </c>
      <c r="I30" s="8">
        <f t="shared" si="2"/>
        <v>2000</v>
      </c>
      <c r="J30" s="2">
        <v>8801262236</v>
      </c>
      <c r="K30" s="15" t="s">
        <v>55</v>
      </c>
    </row>
    <row r="31" spans="2:11" ht="29.4" customHeight="1" x14ac:dyDescent="0.3">
      <c r="B31" s="2" t="s">
        <v>54</v>
      </c>
      <c r="C31" s="2" t="s">
        <v>53</v>
      </c>
      <c r="D31" s="3" t="s">
        <v>47</v>
      </c>
      <c r="E31" s="4"/>
      <c r="F31" s="2" t="s">
        <v>13</v>
      </c>
      <c r="G31" s="2">
        <v>29</v>
      </c>
      <c r="H31" s="11">
        <v>100</v>
      </c>
      <c r="I31" s="8">
        <f t="shared" si="2"/>
        <v>2900</v>
      </c>
      <c r="J31" s="2">
        <v>8801262236</v>
      </c>
      <c r="K31" s="15" t="s">
        <v>55</v>
      </c>
    </row>
    <row r="32" spans="2:11" ht="29.4" customHeight="1" x14ac:dyDescent="0.3">
      <c r="B32" s="2" t="s">
        <v>54</v>
      </c>
      <c r="C32" s="2" t="s">
        <v>53</v>
      </c>
      <c r="D32" s="3" t="s">
        <v>48</v>
      </c>
      <c r="E32" s="4"/>
      <c r="F32" s="2" t="s">
        <v>13</v>
      </c>
      <c r="G32" s="2">
        <v>29</v>
      </c>
      <c r="H32" s="11">
        <v>300</v>
      </c>
      <c r="I32" s="8">
        <f t="shared" si="2"/>
        <v>8700</v>
      </c>
      <c r="J32" s="2">
        <v>8801262236</v>
      </c>
      <c r="K32" s="15" t="s">
        <v>55</v>
      </c>
    </row>
    <row r="33" spans="2:11" ht="29.4" customHeight="1" x14ac:dyDescent="0.3">
      <c r="B33" s="2" t="s">
        <v>54</v>
      </c>
      <c r="C33" s="2" t="s">
        <v>53</v>
      </c>
      <c r="D33" s="3" t="s">
        <v>49</v>
      </c>
      <c r="E33" s="4"/>
      <c r="F33" s="2" t="s">
        <v>13</v>
      </c>
      <c r="G33" s="2">
        <v>1440</v>
      </c>
      <c r="H33" s="11">
        <v>85</v>
      </c>
      <c r="I33" s="8">
        <f t="shared" si="2"/>
        <v>122400</v>
      </c>
      <c r="J33" s="2">
        <v>8801262236</v>
      </c>
      <c r="K33" s="15" t="s">
        <v>55</v>
      </c>
    </row>
    <row r="34" spans="2:11" ht="29.4" customHeight="1" x14ac:dyDescent="0.3">
      <c r="B34" s="2" t="s">
        <v>54</v>
      </c>
      <c r="C34" s="2" t="s">
        <v>53</v>
      </c>
      <c r="D34" s="3" t="s">
        <v>50</v>
      </c>
      <c r="E34" s="4"/>
      <c r="F34" s="2" t="s">
        <v>13</v>
      </c>
      <c r="G34" s="2">
        <v>840</v>
      </c>
      <c r="H34" s="11">
        <v>71</v>
      </c>
      <c r="I34" s="8">
        <f t="shared" si="2"/>
        <v>59640</v>
      </c>
      <c r="J34" s="2">
        <v>8801262236</v>
      </c>
      <c r="K34" s="15" t="s">
        <v>55</v>
      </c>
    </row>
    <row r="35" spans="2:11" ht="29.4" customHeight="1" x14ac:dyDescent="0.3">
      <c r="B35" s="2" t="s">
        <v>62</v>
      </c>
      <c r="C35" s="2" t="s">
        <v>53</v>
      </c>
      <c r="D35" s="3" t="s">
        <v>56</v>
      </c>
      <c r="E35" s="4"/>
      <c r="F35" s="2" t="s">
        <v>13</v>
      </c>
      <c r="G35" s="2">
        <v>29</v>
      </c>
      <c r="H35" s="11">
        <v>375</v>
      </c>
      <c r="I35" s="8">
        <f t="shared" si="2"/>
        <v>10875</v>
      </c>
      <c r="J35" s="2">
        <v>8015700568</v>
      </c>
      <c r="K35" s="2" t="s">
        <v>63</v>
      </c>
    </row>
    <row r="36" spans="2:11" ht="29.4" customHeight="1" x14ac:dyDescent="0.3">
      <c r="B36" s="2" t="s">
        <v>62</v>
      </c>
      <c r="C36" s="2" t="s">
        <v>60</v>
      </c>
      <c r="D36" s="3" t="s">
        <v>57</v>
      </c>
      <c r="E36" s="4"/>
      <c r="F36" s="2" t="s">
        <v>13</v>
      </c>
      <c r="G36" s="2">
        <v>1</v>
      </c>
      <c r="H36" s="11">
        <v>19750</v>
      </c>
      <c r="I36" s="8">
        <f t="shared" si="2"/>
        <v>19750</v>
      </c>
      <c r="J36" s="2">
        <v>8015700568</v>
      </c>
      <c r="K36" s="2" t="s">
        <v>63</v>
      </c>
    </row>
    <row r="37" spans="2:11" ht="29.4" customHeight="1" x14ac:dyDescent="0.3">
      <c r="B37" s="2" t="s">
        <v>62</v>
      </c>
      <c r="C37" s="2" t="s">
        <v>61</v>
      </c>
      <c r="D37" s="3" t="s">
        <v>58</v>
      </c>
      <c r="E37" s="4"/>
      <c r="F37" s="2" t="s">
        <v>13</v>
      </c>
      <c r="G37" s="2">
        <v>15</v>
      </c>
      <c r="H37" s="11">
        <v>145</v>
      </c>
      <c r="I37" s="8">
        <f t="shared" si="2"/>
        <v>2175</v>
      </c>
      <c r="J37" s="2">
        <v>8015700568</v>
      </c>
      <c r="K37" s="2" t="s">
        <v>63</v>
      </c>
    </row>
    <row r="38" spans="2:11" ht="29.4" customHeight="1" x14ac:dyDescent="0.3">
      <c r="B38" s="2" t="s">
        <v>62</v>
      </c>
      <c r="C38" s="2" t="s">
        <v>61</v>
      </c>
      <c r="D38" s="3" t="s">
        <v>59</v>
      </c>
      <c r="E38" s="4"/>
      <c r="F38" s="2" t="s">
        <v>13</v>
      </c>
      <c r="G38" s="2">
        <v>6</v>
      </c>
      <c r="H38" s="11">
        <v>120</v>
      </c>
      <c r="I38" s="8">
        <f t="shared" si="2"/>
        <v>720</v>
      </c>
      <c r="J38" s="2">
        <v>8015700568</v>
      </c>
      <c r="K38" s="2" t="s">
        <v>63</v>
      </c>
    </row>
    <row r="39" spans="2:11" ht="29.4" customHeight="1" x14ac:dyDescent="0.3">
      <c r="B39" s="2" t="s">
        <v>66</v>
      </c>
      <c r="C39" s="2" t="s">
        <v>64</v>
      </c>
      <c r="D39" s="2" t="s">
        <v>65</v>
      </c>
      <c r="F39" s="2" t="s">
        <v>13</v>
      </c>
      <c r="G39" s="2">
        <v>100</v>
      </c>
      <c r="H39" s="11">
        <v>130</v>
      </c>
      <c r="I39" s="8">
        <f t="shared" si="2"/>
        <v>13000</v>
      </c>
      <c r="J39" s="2">
        <v>9248032859</v>
      </c>
      <c r="K39" s="15" t="s">
        <v>97</v>
      </c>
    </row>
    <row r="40" spans="2:11" ht="29.4" customHeight="1" x14ac:dyDescent="0.3">
      <c r="B40" s="2" t="s">
        <v>66</v>
      </c>
      <c r="C40" s="2" t="s">
        <v>64</v>
      </c>
      <c r="D40" s="2" t="s">
        <v>67</v>
      </c>
      <c r="F40" s="2" t="s">
        <v>13</v>
      </c>
      <c r="G40" s="2">
        <v>100</v>
      </c>
      <c r="H40" s="11">
        <v>85</v>
      </c>
      <c r="I40" s="8">
        <f t="shared" si="2"/>
        <v>8500</v>
      </c>
      <c r="J40" s="2">
        <v>9248032859</v>
      </c>
      <c r="K40" s="15" t="s">
        <v>97</v>
      </c>
    </row>
    <row r="41" spans="2:11" ht="29.4" customHeight="1" x14ac:dyDescent="0.3">
      <c r="B41" s="2" t="s">
        <v>66</v>
      </c>
      <c r="C41" s="2" t="s">
        <v>64</v>
      </c>
      <c r="D41" s="2" t="s">
        <v>68</v>
      </c>
      <c r="F41" s="2" t="s">
        <v>13</v>
      </c>
      <c r="G41" s="2">
        <v>342.5</v>
      </c>
      <c r="H41" s="11">
        <v>235</v>
      </c>
      <c r="I41" s="8">
        <f t="shared" si="2"/>
        <v>80487.5</v>
      </c>
      <c r="J41" s="2">
        <v>9248032859</v>
      </c>
      <c r="K41" s="15" t="s">
        <v>97</v>
      </c>
    </row>
    <row r="42" spans="2:11" ht="29.4" customHeight="1" x14ac:dyDescent="0.3">
      <c r="B42" s="2" t="s">
        <v>66</v>
      </c>
      <c r="C42" s="2" t="s">
        <v>64</v>
      </c>
      <c r="D42" s="2" t="s">
        <v>69</v>
      </c>
      <c r="F42" s="2" t="s">
        <v>13</v>
      </c>
      <c r="G42" s="2">
        <v>112.5</v>
      </c>
      <c r="H42" s="11">
        <v>130</v>
      </c>
      <c r="I42" s="8">
        <f t="shared" si="2"/>
        <v>14625</v>
      </c>
      <c r="J42" s="2">
        <v>9248032859</v>
      </c>
      <c r="K42" s="15" t="s">
        <v>97</v>
      </c>
    </row>
    <row r="43" spans="2:11" ht="29.4" customHeight="1" x14ac:dyDescent="0.3">
      <c r="B43" s="2" t="s">
        <v>66</v>
      </c>
      <c r="C43" s="2" t="s">
        <v>64</v>
      </c>
      <c r="D43" s="2" t="s">
        <v>70</v>
      </c>
      <c r="F43" s="2" t="s">
        <v>13</v>
      </c>
      <c r="G43" s="2">
        <v>342.5</v>
      </c>
      <c r="H43" s="11">
        <v>130</v>
      </c>
      <c r="I43" s="8">
        <f t="shared" si="2"/>
        <v>44525</v>
      </c>
      <c r="J43" s="2">
        <v>9248032859</v>
      </c>
      <c r="K43" s="15" t="s">
        <v>97</v>
      </c>
    </row>
    <row r="44" spans="2:11" ht="29.4" customHeight="1" x14ac:dyDescent="0.3">
      <c r="B44" s="2" t="s">
        <v>66</v>
      </c>
      <c r="C44" s="2" t="s">
        <v>64</v>
      </c>
      <c r="D44" s="2" t="s">
        <v>67</v>
      </c>
      <c r="F44" s="2" t="s">
        <v>13</v>
      </c>
      <c r="G44" s="2">
        <v>112.5</v>
      </c>
      <c r="H44" s="11">
        <v>85</v>
      </c>
      <c r="I44" s="8">
        <f t="shared" si="2"/>
        <v>9562.5</v>
      </c>
      <c r="J44" s="2">
        <v>9248032859</v>
      </c>
      <c r="K44" s="15" t="s">
        <v>97</v>
      </c>
    </row>
    <row r="45" spans="2:11" ht="29.4" customHeight="1" x14ac:dyDescent="0.3">
      <c r="B45" s="2"/>
      <c r="C45" s="2"/>
      <c r="F45" s="2"/>
      <c r="G45" s="2"/>
      <c r="H45" s="11"/>
      <c r="I45" s="8"/>
      <c r="J45" s="2"/>
    </row>
    <row r="46" spans="2:11" ht="29.4" customHeight="1" x14ac:dyDescent="0.3">
      <c r="B46" s="2"/>
      <c r="C46" s="2"/>
      <c r="F46" s="2"/>
      <c r="G46" s="2"/>
      <c r="H46" s="11"/>
      <c r="I46" s="8"/>
      <c r="J46" s="2"/>
    </row>
    <row r="47" spans="2:11" ht="29.4" customHeight="1" x14ac:dyDescent="0.3">
      <c r="B47" s="2"/>
      <c r="C47" s="2"/>
      <c r="F47" s="2"/>
      <c r="G47" s="2"/>
      <c r="H47" s="11"/>
      <c r="I47" s="8"/>
      <c r="J47" s="2"/>
    </row>
    <row r="48" spans="2:11" ht="29.4" customHeight="1" x14ac:dyDescent="0.3">
      <c r="B48" s="2"/>
      <c r="C48" s="2"/>
      <c r="F48" s="2"/>
      <c r="G48" s="2"/>
      <c r="H48" s="11"/>
      <c r="I48" s="8"/>
      <c r="J48" s="2"/>
    </row>
    <row r="49" spans="2:10" ht="29.4" customHeight="1" x14ac:dyDescent="0.3">
      <c r="B49" s="2"/>
      <c r="C49" s="2"/>
      <c r="F49" s="2"/>
      <c r="G49" s="2"/>
      <c r="H49" s="11"/>
      <c r="I49" s="8"/>
      <c r="J49" s="2"/>
    </row>
    <row r="50" spans="2:10" ht="29.4" customHeight="1" x14ac:dyDescent="0.3">
      <c r="B50" s="2"/>
      <c r="C50" s="2"/>
      <c r="F50" s="2"/>
      <c r="G50" s="2"/>
      <c r="H50" s="11"/>
      <c r="I50" s="8"/>
      <c r="J50" s="2"/>
    </row>
    <row r="51" spans="2:10" ht="29.4" customHeight="1" x14ac:dyDescent="0.3">
      <c r="B51" s="2"/>
      <c r="C51" s="2"/>
      <c r="F51" s="2"/>
      <c r="G51" s="2"/>
      <c r="H51" s="11"/>
      <c r="I51" s="8"/>
      <c r="J51" s="2"/>
    </row>
    <row r="52" spans="2:10" ht="29.4" customHeight="1" x14ac:dyDescent="0.3">
      <c r="B52" s="2"/>
      <c r="C52" s="2"/>
      <c r="F52" s="2"/>
      <c r="G52" s="2"/>
      <c r="H52" s="11"/>
      <c r="I52" s="8"/>
      <c r="J52" s="2"/>
    </row>
    <row r="53" spans="2:10" ht="29.4" customHeight="1" x14ac:dyDescent="0.3">
      <c r="B53" s="2"/>
      <c r="C53" s="2"/>
      <c r="F53" s="2"/>
      <c r="G53" s="2"/>
      <c r="H53" s="11"/>
      <c r="I53" s="8"/>
      <c r="J53" s="2"/>
    </row>
    <row r="54" spans="2:10" ht="29.4" customHeight="1" x14ac:dyDescent="0.3">
      <c r="B54" s="2"/>
      <c r="C54" s="2"/>
      <c r="F54" s="2"/>
      <c r="G54" s="2"/>
      <c r="H54" s="11"/>
      <c r="I54" s="8"/>
      <c r="J54" s="2"/>
    </row>
    <row r="55" spans="2:10" ht="29.4" customHeight="1" x14ac:dyDescent="0.3">
      <c r="B55" s="2"/>
      <c r="C55" s="2"/>
      <c r="F55" s="2"/>
      <c r="G55" s="2"/>
      <c r="H55" s="11"/>
      <c r="I55" s="8"/>
      <c r="J55" s="2"/>
    </row>
    <row r="56" spans="2:10" ht="29.4" customHeight="1" x14ac:dyDescent="0.3">
      <c r="B56" s="2"/>
      <c r="C56" s="2"/>
      <c r="F56" s="2"/>
      <c r="G56" s="2"/>
      <c r="H56" s="11"/>
      <c r="I56" s="8"/>
      <c r="J56" s="2"/>
    </row>
    <row r="57" spans="2:10" ht="29.4" customHeight="1" x14ac:dyDescent="0.3">
      <c r="B57" s="2"/>
      <c r="C57" s="2"/>
      <c r="F57" s="2"/>
      <c r="G57" s="2"/>
      <c r="H57" s="11"/>
      <c r="I57" s="8"/>
      <c r="J57" s="2"/>
    </row>
    <row r="58" spans="2:10" ht="29.4" customHeight="1" x14ac:dyDescent="0.3">
      <c r="B58" s="2"/>
      <c r="C58" s="2"/>
      <c r="F58" s="2"/>
      <c r="G58" s="2"/>
      <c r="H58" s="11"/>
      <c r="I58" s="8"/>
      <c r="J58" s="2"/>
    </row>
    <row r="59" spans="2:10" ht="29.4" customHeight="1" x14ac:dyDescent="0.3">
      <c r="B59" s="2"/>
      <c r="C59" s="2"/>
      <c r="F59" s="2"/>
      <c r="G59" s="2"/>
      <c r="H59" s="11"/>
      <c r="I59" s="8"/>
      <c r="J59" s="2"/>
    </row>
    <row r="60" spans="2:10" ht="29.4" customHeight="1" x14ac:dyDescent="0.3">
      <c r="B60" s="2"/>
      <c r="C60" s="2"/>
      <c r="F60" s="2"/>
      <c r="G60" s="2"/>
      <c r="H60" s="11"/>
      <c r="I60" s="8"/>
      <c r="J60" s="2"/>
    </row>
    <row r="61" spans="2:10" ht="29.4" customHeight="1" x14ac:dyDescent="0.3">
      <c r="B61" s="2"/>
      <c r="C61" s="2"/>
      <c r="F61" s="2"/>
      <c r="G61" s="2"/>
      <c r="H61" s="11"/>
      <c r="I61" s="8"/>
      <c r="J61" s="2"/>
    </row>
    <row r="62" spans="2:10" ht="29.4" customHeight="1" x14ac:dyDescent="0.3">
      <c r="B62" s="2"/>
      <c r="C62" s="2"/>
      <c r="F62" s="2"/>
      <c r="G62" s="2"/>
      <c r="H62" s="11"/>
      <c r="I62" s="8"/>
      <c r="J62" s="2"/>
    </row>
    <row r="63" spans="2:10" ht="31.2" customHeight="1" x14ac:dyDescent="0.3">
      <c r="B63" s="2" t="s">
        <v>3</v>
      </c>
      <c r="C63" s="3" t="s">
        <v>4</v>
      </c>
      <c r="D63" s="4" t="s">
        <v>5</v>
      </c>
      <c r="E63" s="4"/>
      <c r="F63" s="2" t="s">
        <v>6</v>
      </c>
      <c r="G63" s="2">
        <v>6844</v>
      </c>
      <c r="H63" s="11">
        <v>2540</v>
      </c>
      <c r="I63" s="8">
        <v>45666</v>
      </c>
      <c r="J63" s="2"/>
    </row>
    <row r="64" spans="2:10" ht="31.2" customHeight="1" x14ac:dyDescent="0.3">
      <c r="B64" s="2" t="s">
        <v>10</v>
      </c>
      <c r="C64" s="3" t="s">
        <v>9</v>
      </c>
      <c r="D64" s="3" t="s">
        <v>7</v>
      </c>
      <c r="E64" s="4"/>
      <c r="F64" s="2" t="s">
        <v>6</v>
      </c>
      <c r="G64" s="2"/>
      <c r="H64" s="11">
        <v>4300</v>
      </c>
      <c r="I64" s="8"/>
      <c r="J64" s="2"/>
    </row>
    <row r="65" spans="2:10" ht="31.2" customHeight="1" x14ac:dyDescent="0.3">
      <c r="B65" s="2" t="s">
        <v>10</v>
      </c>
      <c r="C65" s="3" t="s">
        <v>9</v>
      </c>
      <c r="D65" s="3" t="s">
        <v>8</v>
      </c>
      <c r="E65" s="4"/>
      <c r="F65" s="2" t="s">
        <v>6</v>
      </c>
      <c r="G65" s="2"/>
      <c r="H65" s="11">
        <v>1000</v>
      </c>
      <c r="I65" s="8"/>
      <c r="J65" s="2"/>
    </row>
    <row r="66" spans="2:10" ht="31.2" customHeight="1" x14ac:dyDescent="0.3">
      <c r="B66" s="2"/>
      <c r="C66" s="3"/>
      <c r="D66" s="4"/>
      <c r="E66" s="4"/>
      <c r="F66" s="2"/>
      <c r="G66" s="2"/>
      <c r="H66" s="11"/>
      <c r="I66" s="8"/>
      <c r="J66" s="2"/>
    </row>
    <row r="67" spans="2:10" ht="31.2" customHeight="1" x14ac:dyDescent="0.3">
      <c r="B67" s="2"/>
      <c r="C67" s="3"/>
      <c r="D67" s="4"/>
      <c r="E67" s="4"/>
      <c r="F67" s="2"/>
      <c r="G67" s="2"/>
      <c r="H67" s="11"/>
      <c r="I67" s="8"/>
      <c r="J67" s="2"/>
    </row>
    <row r="68" spans="2:10" ht="31.2" customHeight="1" x14ac:dyDescent="0.3">
      <c r="B68" s="2"/>
      <c r="C68" s="3"/>
      <c r="D68" s="4"/>
      <c r="E68" s="4"/>
      <c r="F68" s="2"/>
      <c r="G68" s="2"/>
      <c r="H68" s="11"/>
      <c r="I68" s="8"/>
      <c r="J68" s="2"/>
    </row>
    <row r="69" spans="2:10" ht="31.2" customHeight="1" x14ac:dyDescent="0.3">
      <c r="B69" s="2"/>
      <c r="C69" s="3"/>
      <c r="D69" s="4"/>
      <c r="E69" s="4"/>
      <c r="F69" s="2"/>
      <c r="G69" s="2"/>
      <c r="H69" s="11"/>
      <c r="I69" s="8"/>
      <c r="J69" s="2"/>
    </row>
    <row r="70" spans="2:10" ht="31.2" customHeight="1" x14ac:dyDescent="0.3">
      <c r="B70" s="2"/>
      <c r="C70" s="3"/>
      <c r="D70" s="4"/>
      <c r="E70" s="4"/>
      <c r="F70" s="2"/>
      <c r="G70" s="2"/>
      <c r="H70" s="11"/>
      <c r="I70" s="8"/>
      <c r="J70" s="2"/>
    </row>
    <row r="71" spans="2:10" ht="31.2" customHeight="1" x14ac:dyDescent="0.3">
      <c r="B71" s="2"/>
      <c r="C71" s="3"/>
      <c r="D71" s="4"/>
      <c r="E71" s="4"/>
      <c r="F71" s="2"/>
      <c r="G71" s="2"/>
      <c r="H71" s="11"/>
      <c r="I71" s="8"/>
      <c r="J71" s="2"/>
    </row>
    <row r="72" spans="2:10" ht="31.2" customHeight="1" x14ac:dyDescent="0.3">
      <c r="B72" s="2"/>
      <c r="C72" s="3"/>
      <c r="D72" s="4"/>
      <c r="E72" s="4"/>
      <c r="F72" s="2"/>
      <c r="G72" s="2"/>
      <c r="H72" s="11"/>
      <c r="I72" s="8"/>
      <c r="J72" s="2"/>
    </row>
    <row r="73" spans="2:10" ht="31.2" customHeight="1" x14ac:dyDescent="0.3">
      <c r="B73" s="2"/>
      <c r="C73" s="3"/>
      <c r="D73" s="4"/>
      <c r="E73" s="4"/>
      <c r="F73" s="2"/>
      <c r="G73" s="2"/>
      <c r="H73" s="11"/>
      <c r="I73" s="8"/>
      <c r="J73" s="2"/>
    </row>
    <row r="74" spans="2:10" ht="31.2" customHeight="1" x14ac:dyDescent="0.3">
      <c r="B74" s="2"/>
      <c r="C74" s="3"/>
      <c r="D74" s="4"/>
      <c r="E74" s="4"/>
      <c r="F74" s="2"/>
      <c r="G74" s="2"/>
      <c r="H74" s="11"/>
      <c r="I74" s="8"/>
      <c r="J74" s="2"/>
    </row>
    <row r="75" spans="2:10" ht="31.2" customHeight="1" x14ac:dyDescent="0.3">
      <c r="B75" s="2"/>
      <c r="C75" s="3"/>
      <c r="D75" s="4"/>
      <c r="E75" s="4"/>
      <c r="F75" s="2"/>
      <c r="G75" s="2"/>
      <c r="H75" s="11"/>
      <c r="I75" s="8"/>
      <c r="J75" s="2"/>
    </row>
    <row r="76" spans="2:10" ht="31.2" customHeight="1" x14ac:dyDescent="0.3">
      <c r="B76" s="2"/>
      <c r="C76" s="3"/>
      <c r="D76" s="4"/>
      <c r="E76" s="4"/>
      <c r="F76" s="2"/>
      <c r="G76" s="2"/>
      <c r="H76" s="11"/>
      <c r="I76" s="8"/>
      <c r="J76" s="2"/>
    </row>
    <row r="77" spans="2:10" ht="31.2" customHeight="1" x14ac:dyDescent="0.3">
      <c r="B77" s="2"/>
      <c r="C77" s="3"/>
      <c r="D77" s="4"/>
      <c r="E77" s="4"/>
      <c r="F77" s="2"/>
      <c r="G77" s="2"/>
      <c r="H77" s="11"/>
      <c r="I77" s="8"/>
      <c r="J77" s="2"/>
    </row>
    <row r="78" spans="2:10" ht="31.2" customHeight="1" x14ac:dyDescent="0.3">
      <c r="B78" s="2"/>
      <c r="C78" s="3"/>
      <c r="D78" s="4"/>
      <c r="E78" s="4"/>
      <c r="F78" s="2"/>
      <c r="G78" s="2"/>
      <c r="H78" s="11"/>
      <c r="I78" s="8"/>
      <c r="J78" s="2"/>
    </row>
    <row r="79" spans="2:10" ht="31.2" customHeight="1" x14ac:dyDescent="0.3">
      <c r="B79" s="2"/>
      <c r="C79" s="3"/>
      <c r="D79" s="4"/>
      <c r="E79" s="4"/>
      <c r="F79" s="2"/>
      <c r="G79" s="2"/>
      <c r="H79" s="11"/>
      <c r="I79" s="8"/>
      <c r="J79" s="2"/>
    </row>
    <row r="80" spans="2:10" ht="31.2" customHeight="1" x14ac:dyDescent="0.3">
      <c r="B80" s="2"/>
      <c r="C80" s="3"/>
      <c r="D80" s="4"/>
      <c r="E80" s="4"/>
      <c r="F80" s="2"/>
      <c r="G80" s="2"/>
      <c r="H80" s="11"/>
      <c r="I80" s="8"/>
      <c r="J80" s="2"/>
    </row>
    <row r="81" spans="2:10" ht="31.2" customHeight="1" x14ac:dyDescent="0.3">
      <c r="B81" s="2"/>
      <c r="C81" s="3"/>
      <c r="D81" s="4"/>
      <c r="E81" s="4"/>
      <c r="F81" s="2"/>
      <c r="G81" s="2"/>
      <c r="H81" s="11"/>
      <c r="I81" s="8"/>
      <c r="J81" s="2"/>
    </row>
    <row r="82" spans="2:10" ht="31.2" customHeight="1" x14ac:dyDescent="0.3">
      <c r="B82" s="2"/>
      <c r="C82" s="3"/>
      <c r="D82" s="4"/>
      <c r="E82" s="4"/>
      <c r="F82" s="2"/>
      <c r="G82" s="2"/>
      <c r="H82" s="11"/>
      <c r="I82" s="8"/>
      <c r="J82" s="2"/>
    </row>
    <row r="83" spans="2:10" ht="31.2" customHeight="1" x14ac:dyDescent="0.3">
      <c r="B83" s="2"/>
      <c r="C83" s="3"/>
      <c r="D83" s="4"/>
      <c r="E83" s="4"/>
      <c r="F83" s="2"/>
      <c r="G83" s="2"/>
      <c r="H83" s="11"/>
      <c r="I83" s="8"/>
      <c r="J83" s="2"/>
    </row>
    <row r="84" spans="2:10" ht="31.2" customHeight="1" x14ac:dyDescent="0.3">
      <c r="B84" s="2"/>
      <c r="C84" s="3"/>
      <c r="D84" s="4"/>
      <c r="E84" s="4"/>
      <c r="F84" s="2"/>
      <c r="G84" s="2"/>
      <c r="H84" s="11"/>
      <c r="I84" s="8"/>
      <c r="J84" s="2"/>
    </row>
    <row r="85" spans="2:10" ht="31.2" customHeight="1" x14ac:dyDescent="0.3">
      <c r="B85" s="2"/>
      <c r="C85" s="3"/>
      <c r="D85" s="4"/>
      <c r="E85" s="4"/>
      <c r="F85" s="2"/>
      <c r="G85" s="2"/>
      <c r="H85" s="11"/>
      <c r="I85" s="8"/>
      <c r="J85" s="2"/>
    </row>
    <row r="86" spans="2:10" ht="31.2" customHeight="1" x14ac:dyDescent="0.3">
      <c r="B86" s="2"/>
      <c r="C86" s="3"/>
      <c r="D86" s="4"/>
      <c r="E86" s="4"/>
      <c r="F86" s="2"/>
      <c r="G86" s="2"/>
      <c r="H86" s="11"/>
      <c r="I86" s="8"/>
      <c r="J86" s="2"/>
    </row>
    <row r="87" spans="2:10" ht="31.2" customHeight="1" x14ac:dyDescent="0.3">
      <c r="B87" s="2"/>
      <c r="C87" s="3"/>
      <c r="D87" s="4"/>
      <c r="E87" s="4"/>
      <c r="F87" s="2"/>
      <c r="G87" s="2"/>
      <c r="H87" s="11"/>
      <c r="I87" s="8"/>
      <c r="J87" s="2"/>
    </row>
    <row r="88" spans="2:10" ht="31.2" customHeight="1" x14ac:dyDescent="0.3">
      <c r="B88" s="2"/>
      <c r="C88" s="3"/>
      <c r="D88" s="4"/>
      <c r="E88" s="4"/>
      <c r="F88" s="2"/>
      <c r="G88" s="2"/>
      <c r="H88" s="11"/>
      <c r="I88" s="8"/>
      <c r="J88" s="2"/>
    </row>
    <row r="89" spans="2:10" ht="31.2" customHeight="1" x14ac:dyDescent="0.3">
      <c r="B89" s="2"/>
      <c r="C89" s="3"/>
      <c r="D89" s="4"/>
      <c r="E89" s="4"/>
      <c r="F89" s="2"/>
      <c r="G89" s="2"/>
      <c r="H89" s="11"/>
      <c r="I89" s="8"/>
      <c r="J89" s="2"/>
    </row>
    <row r="90" spans="2:10" ht="22.95" customHeight="1" x14ac:dyDescent="0.3"/>
    <row r="91" spans="2:10" ht="22.95" customHeight="1" x14ac:dyDescent="0.3"/>
    <row r="92" spans="2:10" ht="22.95" customHeight="1" x14ac:dyDescent="0.3"/>
    <row r="93" spans="2:10" ht="22.95" customHeight="1" x14ac:dyDescent="0.3"/>
    <row r="94" spans="2:10" ht="22.95" customHeight="1" x14ac:dyDescent="0.3"/>
    <row r="95" spans="2:10" ht="22.95" customHeight="1" x14ac:dyDescent="0.3"/>
    <row r="96" spans="2:10" ht="22.95" customHeight="1" x14ac:dyDescent="0.3"/>
    <row r="97" ht="22.95" customHeight="1" x14ac:dyDescent="0.3"/>
    <row r="98" ht="22.95" customHeight="1" x14ac:dyDescent="0.3"/>
  </sheetData>
  <phoneticPr fontId="7" type="noConversion"/>
  <hyperlinks>
    <hyperlink ref="K32" r:id="rId1" xr:uid="{4087159A-8FBE-4B3A-AD4C-33DEC29ED9B2}"/>
    <hyperlink ref="K28:K31" r:id="rId2" display="rkmetalcorp1272@gmail.com" xr:uid="{666D7091-A7C5-404F-8C92-22AFEA97D892}"/>
    <hyperlink ref="K33:K34" r:id="rId3" display="rkmetalcorp1272@gmail.com" xr:uid="{4115BE8A-95A9-4CF7-B156-A658A67C5C01}"/>
    <hyperlink ref="K2" r:id="rId4" xr:uid="{7858A733-C540-48BC-A4DF-659C997A8F3D}"/>
    <hyperlink ref="K39" r:id="rId5" xr:uid="{F6B24244-30A3-4DC6-93BE-928080ABE33C}"/>
    <hyperlink ref="K40:K44" r:id="rId6" display="ubengineering72@gmail.com" xr:uid="{E27075A0-7291-4CFE-83C9-86AEAC3773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Heena</dc:creator>
  <cp:lastModifiedBy>Manisha Saini</cp:lastModifiedBy>
  <dcterms:created xsi:type="dcterms:W3CDTF">2026-02-24T05:28:09Z</dcterms:created>
  <dcterms:modified xsi:type="dcterms:W3CDTF">2026-02-26T04:12:59Z</dcterms:modified>
</cp:coreProperties>
</file>